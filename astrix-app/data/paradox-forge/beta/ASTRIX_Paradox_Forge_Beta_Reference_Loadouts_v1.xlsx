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fda674b37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out Index" sheetId="1" r:id="Ra034f1d947e247e7"/>
    <x:sheet xmlns:r="http://schemas.openxmlformats.org/officeDocument/2006/relationships" name="Coverage Matrix" sheetId="2" r:id="R88287f2cef9543aa"/>
    <x:sheet xmlns:r="http://schemas.openxmlformats.org/officeDocument/2006/relationships" name="Beta Test Plan" sheetId="3" r:id="R6e016b0fde71416f"/>
    <x:sheet xmlns:r="http://schemas.openxmlformats.org/officeDocument/2006/relationships" name="Fixture Schema" sheetId="4" r:id="R0ce07d3c352f4aad"/>
    <x:sheet xmlns:r="http://schemas.openxmlformats.org/officeDocument/2006/relationships" name="Read Me" sheetId="5" r:id="R51aea112db67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2EEF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1126"/>
      </x:patternFill>
    </x:fill>
    <x:fill>
      <x:patternFill patternType="solid">
        <x:fgColor rgb="FF8B5CF6"/>
      </x:patternFill>
    </x:fill>
    <x:fill>
      <x:patternFill patternType="solid">
        <x:fgColor rgb="FF33255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FE2E2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c3401f54d46a0" /><Relationship Type="http://schemas.openxmlformats.org/officeDocument/2006/relationships/theme" Target="/xl/theme/theme1.xml" Id="R1b53556f57594081" /><Relationship Type="http://schemas.openxmlformats.org/officeDocument/2006/relationships/sharedStrings" Target="/xl/sharedStrings.xml" Id="R8de5c04dc01248a1" /><Relationship Type="http://schemas.openxmlformats.org/officeDocument/2006/relationships/worksheet" Target="/xl/worksheets/sheet1.xml" Id="Ra034f1d947e247e7" /><Relationship Type="http://schemas.openxmlformats.org/officeDocument/2006/relationships/worksheet" Target="/xl/worksheets/sheet2.xml" Id="R88287f2cef9543aa" /><Relationship Type="http://schemas.openxmlformats.org/officeDocument/2006/relationships/worksheet" Target="/xl/worksheets/sheet3.xml" Id="R6e016b0fde71416f" /><Relationship Type="http://schemas.openxmlformats.org/officeDocument/2006/relationships/worksheet" Target="/xl/worksheets/sheet4.xml" Id="R0ce07d3c352f4aad" /><Relationship Type="http://schemas.openxmlformats.org/officeDocument/2006/relationships/worksheet" Target="/xl/worksheets/sheet5.xml" Id="R51aea112db674163" /></Relationships>
</file>

<file path=xl/tables/table1.xml><?xml version="1.0" encoding="utf-8"?>
<x:table xmlns:x="http://schemas.openxmlformats.org/spreadsheetml/2006/main" id="1" name="LoadoutIndexTable" displayName="LoadoutIndexTable" ref="A3:N26" headerRowCount="1">
  <x:tableColumns count="14">
    <x:tableColumn id="1" name="#"/>
    <x:tableColumn id="2" name="DIM ID"/>
    <x:tableColumn id="3" name="Loadout Name"/>
    <x:tableColumn id="4" name="Class"/>
    <x:tableColumn id="5" name="classType"/>
    <x:tableColumn id="6" name="Subclass"/>
    <x:tableColumn id="7" name="Element"/>
    <x:tableColumn id="8" name="Subclass Hash"/>
    <x:tableColumn id="9" name="Item Count"/>
    <x:tableColumn id="10" name="Mod Count"/>
    <x:tableColumn id="11" name="Artifact Season"/>
    <x:tableColumn id="12" name="Evidence Status"/>
    <x:tableColumn id="13" name="DIM URL"/>
    <x:tableColumn id="14" name="Evidence Note"/>
  </x:tableColumns>
  <x:tableStyleInfo name="TableStyleMedium2" showRowStripes="1"/>
</x:table>
</file>

<file path=xl/tables/table2.xml><?xml version="1.0" encoding="utf-8"?>
<x:table xmlns:x="http://schemas.openxmlformats.org/spreadsheetml/2006/main" id="2" name="BetaTestPlanTable" displayName="BetaTestPlanTable" ref="A3:J13" headerRowCount="1">
  <x:tableColumns count="10">
    <x:tableColumn id="1" name="Test ID"/>
    <x:tableColumn id="2" name="Reference Build"/>
    <x:tableColumn id="3" name="Class"/>
    <x:tableColumn id="4" name="Element"/>
    <x:tableColumn id="5" name="Mutation Type"/>
    <x:tableColumn id="6" name="Controlled Change"/>
    <x:tableColumn id="7" name="Expected Detection"/>
    <x:tableColumn id="8" name="Expected Paradox Response"/>
    <x:tableColumn id="9" name="Pass Criteria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FixtureSchemaTable" displayName="FixtureSchemaTable" ref="A3:F25" headerRowCount="1">
  <x:tableColumns count="6">
    <x:tableColumn id="1" name="Field"/>
    <x:tableColumn id="2" name="Type"/>
    <x:tableColumn id="3" name="Source Owner"/>
    <x:tableColumn id="4" name="Required"/>
    <x:tableColumn id="5" name="Purpose"/>
    <x:tableColumn id="6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12655a285b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48adf3c2374e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2fad41e50a4adc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30" hidden="0" customWidth="1"/>
    <x:col min="4" max="4" width="11" hidden="0" customWidth="1"/>
    <x:col min="5" max="5" width="10" hidden="0" customWidth="1"/>
    <x:col min="6" max="6" width="22" hidden="0" customWidth="1"/>
    <x:col min="7" max="7" width="12" hidden="0" customWidth="1"/>
    <x:col min="8" max="8" width="15" hidden="0" customWidth="1"/>
    <x:col min="9" max="9" width="11" hidden="0" customWidth="1"/>
    <x:col min="10" max="10" width="11" hidden="0" customWidth="1"/>
    <x:col min="11" max="11" width="14" hidden="0" customWidth="1"/>
    <x:col min="12" max="12" width="24" hidden="0" customWidth="1"/>
    <x:col min="13" max="13" width="48" hidden="0" customWidth="1"/>
    <x:col min="14" max="14" width="44" hidden="0" customWidth="1"/>
  </x:cols>
  <x:sheetData>
    <x:row r="1">
      <x:c r="A1" s="4" t="str">
        <x:v>ASTRIX PARADOX — Beta Reference Loadout Index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#</x:v>
      </x:c>
      <x:c r="B3" s="12" t="str">
        <x:v>DIM ID</x:v>
      </x:c>
      <x:c r="C3" s="12" t="str">
        <x:v>Loadout Name</x:v>
      </x:c>
      <x:c r="D3" s="12" t="str">
        <x:v>Class</x:v>
      </x:c>
      <x:c r="E3" s="12" t="str">
        <x:v>classType</x:v>
      </x:c>
      <x:c r="F3" s="12" t="str">
        <x:v>Subclass</x:v>
      </x:c>
      <x:c r="G3" s="12" t="str">
        <x:v>Element</x:v>
      </x:c>
      <x:c r="H3" s="12" t="str">
        <x:v>Subclass Hash</x:v>
      </x:c>
      <x:c r="I3" s="12" t="str">
        <x:v>Item Count</x:v>
      </x:c>
      <x:c r="J3" s="12" t="str">
        <x:v>Mod Count</x:v>
      </x:c>
      <x:c r="K3" s="12" t="str">
        <x:v>Artifact Season</x:v>
      </x:c>
      <x:c r="L3" s="12" t="str">
        <x:v>Evidence Status</x:v>
      </x:c>
      <x:c r="M3" s="12" t="str">
        <x:v>DIM URL</x:v>
      </x:c>
      <x:c r="N3" s="12" t="str">
        <x:v>Evidence Note</x:v>
      </x:c>
    </x:row>
    <x:row r="4">
      <x:c r="A4" s="18" t="n">
        <x:v>1</x:v>
      </x:c>
      <x:c r="B4" s="18" t="str">
        <x:v>x7erqfy</x:v>
      </x:c>
      <x:c r="C4" s="18" t="str">
        <x:v>Equipped</x:v>
      </x:c>
      <x:c r="D4" s="18" t="str">
        <x:v>Hunter</x:v>
      </x:c>
      <x:c r="E4" s="18" t="n">
        <x:v>1</x:v>
      </x:c>
      <x:c r="F4" s="18" t="str">
        <x:v>Nightstalker</x:v>
      </x:c>
      <x:c r="G4" s="18" t="str">
        <x:v>Void</x:v>
      </x:c>
      <x:c r="H4" s="18" t="n">
        <x:v>2453351420</x:v>
      </x:c>
      <x:c r="I4" s="18" t="n">
        <x:v>12</x:v>
      </x:c>
      <x:c r="J4" s="18" t="n">
        <x:v>25</x:v>
      </x:c>
      <x:c r="K4" s="18"/>
      <x:c r="L4" s="18" t="str">
        <x:v>Confirmed</x:v>
      </x:c>
      <x:c r="M4" s="18" t="str">
        <x:v>https://dim.gg/x7erqfy/Equipped</x:v>
      </x:c>
      <x:c r="N4" s="18" t="str">
        <x:v>DIM payload + subclass hash resolution</x:v>
      </x:c>
    </x:row>
    <x:row r="5">
      <x:c r="A5" s="18" t="n">
        <x:v>2</x:v>
      </x:c>
      <x:c r="B5" s="18" t="str">
        <x:v>ldqqciq</x:v>
      </x:c>
      <x:c r="C5" s="18" t="str">
        <x:v>SoG</x:v>
      </x:c>
      <x:c r="D5" s="18" t="str">
        <x:v>Hunter</x:v>
      </x:c>
      <x:c r="E5" s="18" t="n">
        <x:v>1</x:v>
      </x:c>
      <x:c r="F5" s="18" t="str">
        <x:v>Gunslinger</x:v>
      </x:c>
      <x:c r="G5" s="18" t="str">
        <x:v>Solar</x:v>
      </x:c>
      <x:c r="H5" s="18" t="n">
        <x:v>2240888816</x:v>
      </x:c>
      <x:c r="I5" s="18" t="n">
        <x:v>12</x:v>
      </x:c>
      <x:c r="J5" s="18" t="n">
        <x:v>21</x:v>
      </x:c>
      <x:c r="K5" s="18"/>
      <x:c r="L5" s="18" t="str">
        <x:v>Confirmed</x:v>
      </x:c>
      <x:c r="M5" s="18" t="str">
        <x:v>https://dim.gg/ldqqciq/SoG</x:v>
      </x:c>
      <x:c r="N5" s="18" t="str">
        <x:v>DIM payload + subclass hash resolution</x:v>
      </x:c>
    </x:row>
    <x:row r="6">
      <x:c r="A6" s="18" t="n">
        <x:v>3</x:v>
      </x:c>
      <x:c r="B6" s="18" t="str">
        <x:v>2rtiqki</x:v>
      </x:c>
      <x:c r="C6" s="18" t="str">
        <x:v>Arc2</x:v>
      </x:c>
      <x:c r="D6" s="18" t="str">
        <x:v>Hunter</x:v>
      </x:c>
      <x:c r="E6" s="18" t="n">
        <x:v>1</x:v>
      </x:c>
      <x:c r="F6" s="18" t="str">
        <x:v>Arcstrider</x:v>
      </x:c>
      <x:c r="G6" s="18" t="str">
        <x:v>Arc</x:v>
      </x:c>
      <x:c r="H6" s="18" t="n">
        <x:v>2328211300</x:v>
      </x:c>
      <x:c r="I6" s="18" t="n">
        <x:v>13</x:v>
      </x:c>
      <x:c r="J6" s="18" t="n">
        <x:v>23</x:v>
      </x:c>
      <x:c r="K6" s="18"/>
      <x:c r="L6" s="18" t="str">
        <x:v>Confirmed</x:v>
      </x:c>
      <x:c r="M6" s="18" t="str">
        <x:v>https://dim.gg/2rtiqki/Arc2</x:v>
      </x:c>
      <x:c r="N6" s="18" t="str">
        <x:v>DIM payload + subclass hash resolution</x:v>
      </x:c>
    </x:row>
    <x:row r="7">
      <x:c r="A7" s="18" t="n">
        <x:v>4</x:v>
      </x:c>
      <x:c r="B7" s="18" t="str">
        <x:v>s4ewkwq</x:v>
      </x:c>
      <x:c r="C7" s="18" t="str">
        <x:v>Skip Grenade Shinobu's Spam</x:v>
      </x:c>
      <x:c r="D7" s="18" t="str">
        <x:v>Hunter</x:v>
      </x:c>
      <x:c r="E7" s="18" t="n">
        <x:v>1</x:v>
      </x:c>
      <x:c r="F7" s="18" t="str">
        <x:v>Arcstrider</x:v>
      </x:c>
      <x:c r="G7" s="18" t="str">
        <x:v>Arc</x:v>
      </x:c>
      <x:c r="H7" s="18"/>
      <x:c r="I7" s="18"/>
      <x:c r="J7" s="18"/>
      <x:c r="K7" s="18"/>
      <x:c r="L7" s="18" t="str">
        <x:v>Pending extraction</x:v>
      </x:c>
      <x:c r="M7" s="18" t="str">
        <x:v>https://dim.gg/s4ewkwq/Skip-Grenade-Shinobu's-Spam</x:v>
      </x:c>
      <x:c r="N7" s="18" t="str">
        <x:v>Subclass inferred from title only; direct DIM payload not extracted in this pass</x:v>
      </x:c>
    </x:row>
    <x:row r="8">
      <x:c r="A8" s="18" t="n">
        <x:v>5</x:v>
      </x:c>
      <x:c r="B8" s="18" t="str">
        <x:v>vpy3uqa</x:v>
      </x:c>
      <x:c r="C8" s="18" t="str">
        <x:v>Unkillable Prismatic Hunter</x:v>
      </x:c>
      <x:c r="D8" s="18" t="str">
        <x:v>Hunter</x:v>
      </x:c>
      <x:c r="E8" s="18" t="n">
        <x:v>1</x:v>
      </x:c>
      <x:c r="F8" s="18" t="str">
        <x:v>Prismatic Hunter</x:v>
      </x:c>
      <x:c r="G8" s="18" t="str">
        <x:v>Prismatic</x:v>
      </x:c>
      <x:c r="H8" s="18" t="n">
        <x:v>4282591831</x:v>
      </x:c>
      <x:c r="I8" s="18" t="n">
        <x:v>12</x:v>
      </x:c>
      <x:c r="J8" s="18" t="n">
        <x:v>22</x:v>
      </x:c>
      <x:c r="K8" s="18" t="n">
        <x:v>24</x:v>
      </x:c>
      <x:c r="L8" s="18" t="str">
        <x:v>Confirmed</x:v>
      </x:c>
      <x:c r="M8" s="18" t="str">
        <x:v>https://dim.gg/vpy3uqa/Unkillable-Prismatic-Hunter</x:v>
      </x:c>
      <x:c r="N8" s="18" t="str">
        <x:v>DIM payload + subclass hash resolution</x:v>
      </x:c>
    </x:row>
    <x:row r="9">
      <x:c r="A9" s="18" t="n">
        <x:v>6</x:v>
      </x:c>
      <x:c r="B9" s="18" t="str">
        <x:v>orzbdoq</x:v>
      </x:c>
      <x:c r="C9" s="18" t="str">
        <x:v>Strand Grappler</x:v>
      </x:c>
      <x:c r="D9" s="18" t="str">
        <x:v>Hunter</x:v>
      </x:c>
      <x:c r="E9" s="18" t="n">
        <x:v>1</x:v>
      </x:c>
      <x:c r="F9" s="18" t="str">
        <x:v>Threadrunner</x:v>
      </x:c>
      <x:c r="G9" s="18" t="str">
        <x:v>Strand</x:v>
      </x:c>
      <x:c r="H9" s="18" t="n">
        <x:v>3785442599</x:v>
      </x:c>
      <x:c r="I9" s="18" t="n">
        <x:v>5</x:v>
      </x:c>
      <x:c r="J9" s="18" t="n">
        <x:v>9</x:v>
      </x:c>
      <x:c r="K9" s="18"/>
      <x:c r="L9" s="18" t="str">
        <x:v>Confirmed</x:v>
      </x:c>
      <x:c r="M9" s="18" t="str">
        <x:v>https://dim.gg/orzbdoq/Strand-Grappler</x:v>
      </x:c>
      <x:c r="N9" s="18" t="str">
        <x:v>DIM payload + subclass hash resolution</x:v>
      </x:c>
    </x:row>
    <x:row r="10">
      <x:c r="A10" s="18" t="n">
        <x:v>7</x:v>
      </x:c>
      <x:c r="B10" s="18" t="str">
        <x:v>tpqq7aa</x:v>
      </x:c>
      <x:c r="C10" s="18" t="str">
        <x:v>Prismatic</x:v>
      </x:c>
      <x:c r="D10" s="18" t="str">
        <x:v>Hunter</x:v>
      </x:c>
      <x:c r="E10" s="18" t="n">
        <x:v>1</x:v>
      </x:c>
      <x:c r="F10" s="18" t="str">
        <x:v>Prismatic Hunter</x:v>
      </x:c>
      <x:c r="G10" s="18" t="str">
        <x:v>Prismatic</x:v>
      </x:c>
      <x:c r="H10" s="18" t="n">
        <x:v>4282591831</x:v>
      </x:c>
      <x:c r="I10" s="18" t="n">
        <x:v>8</x:v>
      </x:c>
      <x:c r="J10" s="18" t="n">
        <x:v>21</x:v>
      </x:c>
      <x:c r="K10" s="18" t="n">
        <x:v>27</x:v>
      </x:c>
      <x:c r="L10" s="18" t="str">
        <x:v>Confirmed</x:v>
      </x:c>
      <x:c r="M10" s="18" t="str">
        <x:v>https://dim.gg/tpqq7aa/Prismatic</x:v>
      </x:c>
      <x:c r="N10" s="18" t="str">
        <x:v>DIM payload + subclass hash resolution</x:v>
      </x:c>
    </x:row>
    <x:row r="11">
      <x:c r="A11" s="18" t="n">
        <x:v>8</x:v>
      </x:c>
      <x:c r="B11" s="18" t="str">
        <x:v>3sqagbq</x:v>
      </x:c>
      <x:c r="C11" s="18" t="str">
        <x:v>Stasis</x:v>
      </x:c>
      <x:c r="D11" s="18" t="str">
        <x:v>Hunter</x:v>
      </x:c>
      <x:c r="E11" s="18" t="n">
        <x:v>1</x:v>
      </x:c>
      <x:c r="F11" s="18" t="str">
        <x:v>Prismatic Hunter</x:v>
      </x:c>
      <x:c r="G11" s="18" t="str">
        <x:v>Prismatic</x:v>
      </x:c>
      <x:c r="H11" s="18" t="n">
        <x:v>4282591831</x:v>
      </x:c>
      <x:c r="I11" s="18" t="n">
        <x:v>8</x:v>
      </x:c>
      <x:c r="J11" s="18" t="n">
        <x:v>20</x:v>
      </x:c>
      <x:c r="K11" s="18"/>
      <x:c r="L11" s="18" t="str">
        <x:v>Confirmed - title mismatch</x:v>
      </x:c>
      <x:c r="M11" s="18" t="str">
        <x:v>https://dim.gg/3sqagbq/Stasis</x:v>
      </x:c>
      <x:c r="N11" s="18" t="str">
        <x:v>DIM says Prismatic Hunter despite loadout title 'Stasis'</x:v>
      </x:c>
    </x:row>
    <x:row r="12">
      <x:c r="A12" s="18" t="n">
        <x:v>9</x:v>
      </x:c>
      <x:c r="B12" s="18" t="str">
        <x:v>bz3nr7i</x:v>
      </x:c>
      <x:c r="C12" s="18" t="str">
        <x:v>Metaodoxia build</x:v>
      </x:c>
      <x:c r="D12" s="18" t="str">
        <x:v>Warlock</x:v>
      </x:c>
      <x:c r="E12" s="18" t="n">
        <x:v>2</x:v>
      </x:c>
      <x:c r="F12" s="18" t="str">
        <x:v>Prismatic Warlock</x:v>
      </x:c>
      <x:c r="G12" s="18" t="str">
        <x:v>Prismatic</x:v>
      </x:c>
      <x:c r="H12" s="18" t="n">
        <x:v>3893112950</x:v>
      </x:c>
      <x:c r="I12" s="18" t="n">
        <x:v>8</x:v>
      </x:c>
      <x:c r="J12" s="18" t="n">
        <x:v>20</x:v>
      </x:c>
      <x:c r="K12" s="18" t="n">
        <x:v>27</x:v>
      </x:c>
      <x:c r="L12" s="18" t="str">
        <x:v>Confirmed</x:v>
      </x:c>
      <x:c r="M12" s="18" t="str">
        <x:v>https://dim.gg/bz3nr7i/Metaodoxia-build</x:v>
      </x:c>
      <x:c r="N12" s="18" t="str">
        <x:v>DIM payload + subclass hash resolution</x:v>
      </x:c>
    </x:row>
    <x:row r="13">
      <x:c r="A13" s="18" t="n">
        <x:v>10</x:v>
      </x:c>
      <x:c r="B13" s="18" t="str">
        <x:v>mif2jva</x:v>
      </x:c>
      <x:c r="C13" s="18" t="str">
        <x:v>Starfire Protocal</x:v>
      </x:c>
      <x:c r="D13" s="18" t="str">
        <x:v>Warlock</x:v>
      </x:c>
      <x:c r="E13" s="18" t="n">
        <x:v>2</x:v>
      </x:c>
      <x:c r="F13" s="18" t="str">
        <x:v>Dawnblade</x:v>
      </x:c>
      <x:c r="G13" s="18" t="str">
        <x:v>Solar</x:v>
      </x:c>
      <x:c r="H13" s="18" t="n">
        <x:v>3941205951</x:v>
      </x:c>
      <x:c r="I13" s="18" t="n">
        <x:v>8</x:v>
      </x:c>
      <x:c r="J13" s="18" t="n">
        <x:v>20</x:v>
      </x:c>
      <x:c r="K13" s="18" t="n">
        <x:v>27</x:v>
      </x:c>
      <x:c r="L13" s="18" t="str">
        <x:v>Confirmed</x:v>
      </x:c>
      <x:c r="M13" s="18" t="str">
        <x:v>https://dim.gg/mif2jva/Starfire-Protocal</x:v>
      </x:c>
      <x:c r="N13" s="18" t="str">
        <x:v>DIM payload + subclass hash resolution</x:v>
      </x:c>
    </x:row>
    <x:row r="14">
      <x:c r="A14" s="18" t="n">
        <x:v>11</x:v>
      </x:c>
      <x:c r="B14" s="18" t="str">
        <x:v>kmjfxua</x:v>
      </x:c>
      <x:c r="C14" s="18" t="str">
        <x:v>Manacle Mayhem 2.0</x:v>
      </x:c>
      <x:c r="D14" s="18" t="str">
        <x:v>Warlock</x:v>
      </x:c>
      <x:c r="E14" s="18" t="n">
        <x:v>2</x:v>
      </x:c>
      <x:c r="F14" s="18" t="str">
        <x:v>Voidwalker</x:v>
      </x:c>
      <x:c r="G14" s="18" t="str">
        <x:v>Void</x:v>
      </x:c>
      <x:c r="H14" s="18" t="n">
        <x:v>2849050827</x:v>
      </x:c>
      <x:c r="I14" s="18" t="n">
        <x:v>8</x:v>
      </x:c>
      <x:c r="J14" s="18" t="n">
        <x:v>24</x:v>
      </x:c>
      <x:c r="K14" s="18"/>
      <x:c r="L14" s="18" t="str">
        <x:v>Confirmed</x:v>
      </x:c>
      <x:c r="M14" s="18" t="str">
        <x:v>https://dim.gg/kmjfxua/Manacle-Mayhem-2.0</x:v>
      </x:c>
      <x:c r="N14" s="18" t="str">
        <x:v>DIM payload + subclass hash resolution</x:v>
      </x:c>
    </x:row>
    <x:row r="15">
      <x:c r="A15" s="18" t="n">
        <x:v>12</x:v>
      </x:c>
      <x:c r="B15" s="18" t="str">
        <x:v>rhzs2li</x:v>
      </x:c>
      <x:c r="C15" s="18" t="str">
        <x:v>Huckleberry</x:v>
      </x:c>
      <x:c r="D15" s="18" t="str">
        <x:v>Warlock</x:v>
      </x:c>
      <x:c r="E15" s="18" t="n">
        <x:v>2</x:v>
      </x:c>
      <x:c r="F15" s="18" t="str">
        <x:v>Prismatic Warlock</x:v>
      </x:c>
      <x:c r="G15" s="18" t="str">
        <x:v>Prismatic</x:v>
      </x:c>
      <x:c r="H15" s="18" t="n">
        <x:v>3893112950</x:v>
      </x:c>
      <x:c r="I15" s="18" t="n">
        <x:v>12</x:v>
      </x:c>
      <x:c r="J15" s="18" t="n">
        <x:v>24</x:v>
      </x:c>
      <x:c r="K15" s="18" t="n">
        <x:v>28</x:v>
      </x:c>
      <x:c r="L15" s="18" t="str">
        <x:v>Confirmed</x:v>
      </x:c>
      <x:c r="M15" s="18" t="str">
        <x:v>https://dim.gg/rhzs2li/Huckleberry</x:v>
      </x:c>
      <x:c r="N15" s="18" t="str">
        <x:v>DIM payload + subclass hash resolution</x:v>
      </x:c>
    </x:row>
    <x:row r="16">
      <x:c r="A16" s="18" t="n">
        <x:v>13</x:v>
      </x:c>
      <x:c r="B16" s="18" t="str">
        <x:v>sqepguq</x:v>
      </x:c>
      <x:c r="C16" s="18" t="str">
        <x:v>1 Final Well Lock</x:v>
      </x:c>
      <x:c r="D16" s="18" t="str">
        <x:v>Warlock</x:v>
      </x:c>
      <x:c r="E16" s="18" t="n">
        <x:v>2</x:v>
      </x:c>
      <x:c r="F16" s="18" t="str">
        <x:v>Dawnblade</x:v>
      </x:c>
      <x:c r="G16" s="18" t="str">
        <x:v>Solar</x:v>
      </x:c>
      <x:c r="H16" s="18" t="n">
        <x:v>3941205951</x:v>
      </x:c>
      <x:c r="I16" s="18" t="n">
        <x:v>8</x:v>
      </x:c>
      <x:c r="J16" s="18" t="n">
        <x:v>22</x:v>
      </x:c>
      <x:c r="K16" s="18"/>
      <x:c r="L16" s="18" t="str">
        <x:v>Confirmed</x:v>
      </x:c>
      <x:c r="M16" s="18" t="str">
        <x:v>https://dim.gg/sqepguq/1-Final-Well-Lock</x:v>
      </x:c>
      <x:c r="N16" s="18" t="str">
        <x:v>DIM payload + subclass hash resolution</x:v>
      </x:c>
    </x:row>
    <x:row r="17">
      <x:c r="A17" s="18" t="n">
        <x:v>14</x:v>
      </x:c>
      <x:c r="B17" s="18" t="str">
        <x:v>esvwypy</x:v>
      </x:c>
      <x:c r="C17" s="18" t="str">
        <x:v>Arc 1234</x:v>
      </x:c>
      <x:c r="D17" s="18" t="str">
        <x:v>Warlock</x:v>
      </x:c>
      <x:c r="E17" s="18" t="n">
        <x:v>2</x:v>
      </x:c>
      <x:c r="F17" s="18" t="str">
        <x:v>Stormcaller</x:v>
      </x:c>
      <x:c r="G17" s="18" t="str">
        <x:v>Arc</x:v>
      </x:c>
      <x:c r="H17" s="18" t="n">
        <x:v>3168997075</x:v>
      </x:c>
      <x:c r="I17" s="18" t="n">
        <x:v>9</x:v>
      </x:c>
      <x:c r="J17" s="18" t="n">
        <x:v>25</x:v>
      </x:c>
      <x:c r="K17" s="18"/>
      <x:c r="L17" s="18" t="str">
        <x:v>Confirmed</x:v>
      </x:c>
      <x:c r="M17" s="18" t="str">
        <x:v>https://dim.gg/esvwypy/Arc-1234</x:v>
      </x:c>
      <x:c r="N17" s="18" t="str">
        <x:v>DIM payload + subclass hash resolution</x:v>
      </x:c>
    </x:row>
    <x:row r="18">
      <x:c r="A18" s="18" t="n">
        <x:v>15</x:v>
      </x:c>
      <x:c r="B18" s="18" t="str">
        <x:v>s7xhp4a</x:v>
      </x:c>
      <x:c r="C18" s="18" t="str">
        <x:v>Equipped 7/23/2026, 7:32:12 PM</x:v>
      </x:c>
      <x:c r="D18" s="18" t="str">
        <x:v>Warlock</x:v>
      </x:c>
      <x:c r="E18" s="18" t="n">
        <x:v>2</x:v>
      </x:c>
      <x:c r="F18" s="18" t="str">
        <x:v>Dawnblade</x:v>
      </x:c>
      <x:c r="G18" s="18" t="str">
        <x:v>Solar</x:v>
      </x:c>
      <x:c r="H18" s="18" t="n">
        <x:v>3941205951</x:v>
      </x:c>
      <x:c r="I18" s="18" t="n">
        <x:v>12</x:v>
      </x:c>
      <x:c r="J18" s="18" t="n">
        <x:v>17</x:v>
      </x:c>
      <x:c r="K18" s="18"/>
      <x:c r="L18" s="18" t="str">
        <x:v>Confirmed</x:v>
      </x:c>
      <x:c r="M18" s="18" t="str">
        <x:v>https://dim.gg/s7xhp4a/Equipped-7232026-7:32:12-PM</x:v>
      </x:c>
      <x:c r="N18" s="18" t="str">
        <x:v>DIM payload + subclass hash resolution</x:v>
      </x:c>
    </x:row>
    <x:row r="19">
      <x:c r="A19" s="18" t="n">
        <x:v>16</x:v>
      </x:c>
      <x:c r="B19" s="18" t="str">
        <x:v>rq4ucya</x:v>
      </x:c>
      <x:c r="C19" s="18" t="str">
        <x:v>Strand CT</x:v>
      </x:c>
      <x:c r="D19" s="18" t="str">
        <x:v>Warlock</x:v>
      </x:c>
      <x:c r="E19" s="18" t="n">
        <x:v>2</x:v>
      </x:c>
      <x:c r="F19" s="18" t="str">
        <x:v>Broodweaver</x:v>
      </x:c>
      <x:c r="G19" s="18" t="str">
        <x:v>Strand</x:v>
      </x:c>
      <x:c r="H19" s="18" t="n">
        <x:v>4204413574</x:v>
      </x:c>
      <x:c r="I19" s="18" t="n">
        <x:v>12</x:v>
      </x:c>
      <x:c r="J19" s="18" t="n">
        <x:v>24</x:v>
      </x:c>
      <x:c r="K19" s="18"/>
      <x:c r="L19" s="18" t="str">
        <x:v>Confirmed</x:v>
      </x:c>
      <x:c r="M19" s="18" t="str">
        <x:v>https://dim.gg/rq4ucya/Strand-CT</x:v>
      </x:c>
      <x:c r="N19" s="18" t="str">
        <x:v>DIM payload + subclass hash resolution</x:v>
      </x:c>
    </x:row>
    <x:row r="20">
      <x:c r="A20" s="18" t="n">
        <x:v>17</x:v>
      </x:c>
      <x:c r="B20" s="18" t="str">
        <x:v>rakinsq</x:v>
      </x:c>
      <x:c r="C20" s="18" t="str">
        <x:v>Definitive Frostpulse Warlock</x:v>
      </x:c>
      <x:c r="D20" s="18" t="str">
        <x:v>Warlock</x:v>
      </x:c>
      <x:c r="E20" s="18" t="n">
        <x:v>2</x:v>
      </x:c>
      <x:c r="F20" s="18" t="str">
        <x:v>Shadebinder</x:v>
      </x:c>
      <x:c r="G20" s="18" t="str">
        <x:v>Stasis</x:v>
      </x:c>
      <x:c r="H20" s="18" t="n">
        <x:v>3291545503</x:v>
      </x:c>
      <x:c r="I20" s="18" t="n">
        <x:v>6</x:v>
      </x:c>
      <x:c r="J20" s="18" t="n">
        <x:v>25</x:v>
      </x:c>
      <x:c r="K20" s="18" t="n">
        <x:v>28</x:v>
      </x:c>
      <x:c r="L20" s="18" t="str">
        <x:v>Confirmed</x:v>
      </x:c>
      <x:c r="M20" s="18" t="str">
        <x:v>https://dim.gg/rakinsq/Definitive-Frostpulse-Warlock</x:v>
      </x:c>
      <x:c r="N20" s="18" t="str">
        <x:v>DIM payload + subclass hash resolution</x:v>
      </x:c>
    </x:row>
    <x:row r="21">
      <x:c r="A21" s="18" t="n">
        <x:v>18</x:v>
      </x:c>
      <x:c r="B21" s="18" t="str">
        <x:v>th2uvmy</x:v>
      </x:c>
      <x:c r="C21" s="18" t="str">
        <x:v>Equipped 6/28/2026, 4:25:45 PM</x:v>
      </x:c>
      <x:c r="D21" s="18" t="str">
        <x:v>Warlock</x:v>
      </x:c>
      <x:c r="E21" s="18" t="n">
        <x:v>2</x:v>
      </x:c>
      <x:c r="F21" s="18" t="str">
        <x:v>Prismatic Warlock</x:v>
      </x:c>
      <x:c r="G21" s="18" t="str">
        <x:v>Prismatic</x:v>
      </x:c>
      <x:c r="H21" s="18" t="n">
        <x:v>3893112950</x:v>
      </x:c>
      <x:c r="I21" s="18" t="n">
        <x:v>12</x:v>
      </x:c>
      <x:c r="J21" s="18" t="n">
        <x:v>25</x:v>
      </x:c>
      <x:c r="K21" s="18" t="n">
        <x:v>28</x:v>
      </x:c>
      <x:c r="L21" s="18" t="str">
        <x:v>Confirmed</x:v>
      </x:c>
      <x:c r="M21" s="18" t="str">
        <x:v>https://dim.gg/th2uvmy/Equipped-6282026-4:25:45-PM</x:v>
      </x:c>
      <x:c r="N21" s="18" t="str">
        <x:v>DIM payload + subclass hash resolution</x:v>
      </x:c>
    </x:row>
    <x:row r="22">
      <x:c r="A22" s="18" t="n">
        <x:v>19</x:v>
      </x:c>
      <x:c r="B22" s="18" t="str">
        <x:v>sx4v57q</x:v>
      </x:c>
      <x:c r="C22" s="18" t="str">
        <x:v>Equipped</x:v>
      </x:c>
      <x:c r="D22" s="18" t="str">
        <x:v>Titan</x:v>
      </x:c>
      <x:c r="E22" s="18" t="n">
        <x:v>0</x:v>
      </x:c>
      <x:c r="F22" s="18" t="str">
        <x:v>Prismatic Titan</x:v>
      </x:c>
      <x:c r="G22" s="18" t="str">
        <x:v>Prismatic</x:v>
      </x:c>
      <x:c r="H22" s="18" t="n">
        <x:v>1616346845</x:v>
      </x:c>
      <x:c r="I22" s="18" t="n">
        <x:v>12</x:v>
      </x:c>
      <x:c r="J22" s="18" t="n">
        <x:v>25</x:v>
      </x:c>
      <x:c r="K22" s="18"/>
      <x:c r="L22" s="18" t="str">
        <x:v>Confirmed</x:v>
      </x:c>
      <x:c r="M22" s="18" t="str">
        <x:v>https://dim.gg/sx4v57q/Equipped</x:v>
      </x:c>
      <x:c r="N22" s="18" t="str">
        <x:v>DIM payload + subclass hash resolution</x:v>
      </x:c>
    </x:row>
    <x:row r="23">
      <x:c r="A23" s="18" t="n">
        <x:v>20</x:v>
      </x:c>
      <x:c r="B23" s="18" t="str">
        <x:v>uft2qna</x:v>
      </x:c>
      <x:c r="C23" s="18" t="str">
        <x:v>Solor Charge</x:v>
      </x:c>
      <x:c r="D23" s="18" t="str">
        <x:v>Titan</x:v>
      </x:c>
      <x:c r="E23" s="18" t="n">
        <x:v>0</x:v>
      </x:c>
      <x:c r="F23" s="18" t="str">
        <x:v>Sunbreaker</x:v>
      </x:c>
      <x:c r="G23" s="18" t="str">
        <x:v>Solar</x:v>
      </x:c>
      <x:c r="H23" s="18" t="n">
        <x:v>2550323932</x:v>
      </x:c>
      <x:c r="I23" s="18" t="n">
        <x:v>8</x:v>
      </x:c>
      <x:c r="J23" s="18" t="n">
        <x:v>23</x:v>
      </x:c>
      <x:c r="K23" s="18"/>
      <x:c r="L23" s="18" t="str">
        <x:v>Confirmed</x:v>
      </x:c>
      <x:c r="M23" s="18" t="str">
        <x:v>https://dim.gg/uft2qna/Solor-Charge</x:v>
      </x:c>
      <x:c r="N23" s="18" t="str">
        <x:v>DIM payload + subclass hash resolution</x:v>
      </x:c>
    </x:row>
    <x:row r="24">
      <x:c r="A24" s="18" t="n">
        <x:v>21</x:v>
      </x:c>
      <x:c r="B24" s="18" t="str">
        <x:v>lueslbq</x:v>
      </x:c>
      <x:c r="C24" s="18" t="str">
        <x:v>Shatter titan</x:v>
      </x:c>
      <x:c r="D24" s="18" t="str">
        <x:v>Titan</x:v>
      </x:c>
      <x:c r="E24" s="18" t="n">
        <x:v>0</x:v>
      </x:c>
      <x:c r="F24" s="18" t="str">
        <x:v>Behemoth</x:v>
      </x:c>
      <x:c r="G24" s="18" t="str">
        <x:v>Stasis</x:v>
      </x:c>
      <x:c r="H24" s="18" t="n">
        <x:v>613647804</x:v>
      </x:c>
      <x:c r="I24" s="18" t="n">
        <x:v>9</x:v>
      </x:c>
      <x:c r="J24" s="18" t="n">
        <x:v>20</x:v>
      </x:c>
      <x:c r="K24" s="18" t="n">
        <x:v>28</x:v>
      </x:c>
      <x:c r="L24" s="18" t="str">
        <x:v>Confirmed</x:v>
      </x:c>
      <x:c r="M24" s="18" t="str">
        <x:v>https://dim.gg/lueslbq/Shatter-titan</x:v>
      </x:c>
      <x:c r="N24" s="18" t="str">
        <x:v>DIM payload + subclass hash resolution</x:v>
      </x:c>
    </x:row>
    <x:row r="25">
      <x:c r="A25" s="18" t="n">
        <x:v>22</x:v>
      </x:c>
      <x:c r="B25" s="18" t="str">
        <x:v>jia7cca</x:v>
      </x:c>
      <x:c r="C25" s="18" t="str">
        <x:v>Stasis Blastwave 3</x:v>
      </x:c>
      <x:c r="D25" s="18" t="str">
        <x:v>Titan</x:v>
      </x:c>
      <x:c r="E25" s="18" t="n">
        <x:v>0</x:v>
      </x:c>
      <x:c r="F25" s="18" t="str">
        <x:v>Behemoth</x:v>
      </x:c>
      <x:c r="G25" s="18" t="str">
        <x:v>Stasis</x:v>
      </x:c>
      <x:c r="H25" s="18" t="n">
        <x:v>613647804</x:v>
      </x:c>
      <x:c r="I25" s="18" t="n">
        <x:v>9</x:v>
      </x:c>
      <x:c r="J25" s="18" t="n">
        <x:v>25</x:v>
      </x:c>
      <x:c r="K25" s="18"/>
      <x:c r="L25" s="18" t="str">
        <x:v>Confirmed</x:v>
      </x:c>
      <x:c r="M25" s="18" t="str">
        <x:v>https://dim.gg/jia7cca/Stasis-Blastwave-3</x:v>
      </x:c>
      <x:c r="N25" s="18" t="str">
        <x:v>DIM payload + subclass hash resolution</x:v>
      </x:c>
    </x:row>
    <x:row r="26">
      <x:c r="A26" s="18" t="n">
        <x:v>23</x:v>
      </x:c>
      <x:c r="B26" s="18" t="str">
        <x:v>574bw6q</x:v>
      </x:c>
      <x:c r="C26" s="18" t="str">
        <x:v>Void Shield Bash</x:v>
      </x:c>
      <x:c r="D26" s="18" t="str">
        <x:v>Titan</x:v>
      </x:c>
      <x:c r="E26" s="18" t="n">
        <x:v>0</x:v>
      </x:c>
      <x:c r="F26" s="18" t="str">
        <x:v>Sentinel</x:v>
      </x:c>
      <x:c r="G26" s="18" t="str">
        <x:v>Void</x:v>
      </x:c>
      <x:c r="H26" s="18" t="n">
        <x:v>2842471112</x:v>
      </x:c>
      <x:c r="I26" s="18" t="n">
        <x:v>9</x:v>
      </x:c>
      <x:c r="J26" s="18" t="n">
        <x:v>23</x:v>
      </x:c>
      <x:c r="K26" s="18"/>
      <x:c r="L26" s="18" t="str">
        <x:v>Confirmed</x:v>
      </x:c>
      <x:c r="M26" s="18" t="str">
        <x:v>https://dim.gg/574bw6q/Void-Shield-Bash</x:v>
      </x:c>
      <x:c r="N26" s="18" t="str">
        <x:v>DIM payload + subclass hash resolution</x:v>
      </x:c>
    </x:row>
  </x:sheetData>
  <x:mergeCells>
    <x:mergeCell ref="A1:N1"/>
  </x:mergeCells>
  <x:conditionalFormatting sqref="L4:L26">
    <x:cfRule type="expression" dxfId="0" priority="1">
      <x:formula>ISNUMBER(SEARCH("Pending",L4))</x:formula>
    </x:cfRule>
    <x:cfRule type="expression" dxfId="1" priority="2">
      <x:formula>ISNUMBER(SEARCH("mismatch",L4))</x:formula>
    </x:cfRule>
    <x:cfRule type="expression" dxfId="2" priority="3">
      <x:formula>L4="Confirmed"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12655a285b44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4" t="str">
        <x:v>Class × Element Coverage — Beta Fixture Library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Class</x:v>
      </x:c>
      <x:c r="B3" s="12" t="str">
        <x:v>Arc</x:v>
      </x:c>
      <x:c r="C3" s="12" t="str">
        <x:v>Solar</x:v>
      </x:c>
      <x:c r="D3" s="12" t="str">
        <x:v>Void</x:v>
      </x:c>
      <x:c r="E3" s="12" t="str">
        <x:v>Stasis</x:v>
      </x:c>
      <x:c r="F3" s="12" t="str">
        <x:v>Strand</x:v>
      </x:c>
      <x:c r="G3" s="12" t="str">
        <x:v>Prismatic</x:v>
      </x:c>
      <x:c r="H3" s="12" t="str">
        <x:v>Coverage</x:v>
      </x:c>
    </x:row>
    <x:row r="4">
      <x:c r="A4" s="18" t="str">
        <x:v>Hunter</x:v>
      </x:c>
      <x:c r="B4" s="18" t="n">
        <x:f>COUNTIFS('Loadout Index'!$D$4:$D$26,$A4,'Loadout Index'!$G$4:$G$26,B$3)</x:f>
        <x:v>2</x:v>
      </x:c>
      <x:c r="C4" s="18" t="n">
        <x:f>COUNTIFS('Loadout Index'!$D$4:$D$26,$A4,'Loadout Index'!$G$4:$G$26,C$3)</x:f>
        <x:v>1</x:v>
      </x:c>
      <x:c r="D4" s="18" t="n">
        <x:f>COUNTIFS('Loadout Index'!$D$4:$D$26,$A4,'Loadout Index'!$G$4:$G$26,D$3)</x:f>
        <x:v>1</x:v>
      </x:c>
      <x:c r="E4" s="18" t="n">
        <x:f>COUNTIFS('Loadout Index'!$D$4:$D$26,$A4,'Loadout Index'!$G$4:$G$26,E$3)</x:f>
        <x:v>0</x:v>
      </x:c>
      <x:c r="F4" s="18" t="n">
        <x:f>COUNTIFS('Loadout Index'!$D$4:$D$26,$A4,'Loadout Index'!$G$4:$G$26,F$3)</x:f>
        <x:v>1</x:v>
      </x:c>
      <x:c r="G4" s="18" t="n">
        <x:f>COUNTIFS('Loadout Index'!$D$4:$D$26,$A4,'Loadout Index'!$G$4:$G$26,G$3)</x:f>
        <x:v>3</x:v>
      </x:c>
      <x:c r="H4" s="18" t="str">
        <x:f>COUNTIF(B4:G4,"&gt;0")&amp;"/6"</x:f>
        <x:v>5/6</x:v>
      </x:c>
    </x:row>
    <x:row r="5">
      <x:c r="A5" s="18" t="str">
        <x:v>Warlock</x:v>
      </x:c>
      <x:c r="B5" s="18" t="n">
        <x:f>COUNTIFS('Loadout Index'!$D$4:$D$26,$A5,'Loadout Index'!$G$4:$G$26,B$3)</x:f>
        <x:v>1</x:v>
      </x:c>
      <x:c r="C5" s="18" t="n">
        <x:f>COUNTIFS('Loadout Index'!$D$4:$D$26,$A5,'Loadout Index'!$G$4:$G$26,C$3)</x:f>
        <x:v>3</x:v>
      </x:c>
      <x:c r="D5" s="18" t="n">
        <x:f>COUNTIFS('Loadout Index'!$D$4:$D$26,$A5,'Loadout Index'!$G$4:$G$26,D$3)</x:f>
        <x:v>1</x:v>
      </x:c>
      <x:c r="E5" s="18" t="n">
        <x:f>COUNTIFS('Loadout Index'!$D$4:$D$26,$A5,'Loadout Index'!$G$4:$G$26,E$3)</x:f>
        <x:v>1</x:v>
      </x:c>
      <x:c r="F5" s="18" t="n">
        <x:f>COUNTIFS('Loadout Index'!$D$4:$D$26,$A5,'Loadout Index'!$G$4:$G$26,F$3)</x:f>
        <x:v>1</x:v>
      </x:c>
      <x:c r="G5" s="18" t="n">
        <x:f>COUNTIFS('Loadout Index'!$D$4:$D$26,$A5,'Loadout Index'!$G$4:$G$26,G$3)</x:f>
        <x:v>3</x:v>
      </x:c>
      <x:c r="H5" s="18" t="str">
        <x:f>COUNTIF(B5:G5,"&gt;0")&amp;"/6"</x:f>
        <x:v>6/6</x:v>
      </x:c>
    </x:row>
    <x:row r="6">
      <x:c r="A6" s="18" t="str">
        <x:v>Titan</x:v>
      </x:c>
      <x:c r="B6" s="18" t="n">
        <x:f>COUNTIFS('Loadout Index'!$D$4:$D$26,$A6,'Loadout Index'!$G$4:$G$26,B$3)</x:f>
        <x:v>0</x:v>
      </x:c>
      <x:c r="C6" s="18" t="n">
        <x:f>COUNTIFS('Loadout Index'!$D$4:$D$26,$A6,'Loadout Index'!$G$4:$G$26,C$3)</x:f>
        <x:v>1</x:v>
      </x:c>
      <x:c r="D6" s="18" t="n">
        <x:f>COUNTIFS('Loadout Index'!$D$4:$D$26,$A6,'Loadout Index'!$G$4:$G$26,D$3)</x:f>
        <x:v>1</x:v>
      </x:c>
      <x:c r="E6" s="18" t="n">
        <x:f>COUNTIFS('Loadout Index'!$D$4:$D$26,$A6,'Loadout Index'!$G$4:$G$26,E$3)</x:f>
        <x:v>2</x:v>
      </x:c>
      <x:c r="F6" s="18" t="n">
        <x:f>COUNTIFS('Loadout Index'!$D$4:$D$26,$A6,'Loadout Index'!$G$4:$G$26,F$3)</x:f>
        <x:v>0</x:v>
      </x:c>
      <x:c r="G6" s="18" t="n">
        <x:f>COUNTIFS('Loadout Index'!$D$4:$D$26,$A6,'Loadout Index'!$G$4:$G$26,G$3)</x:f>
        <x:v>1</x:v>
      </x:c>
      <x:c r="H6" s="18" t="str">
        <x:f>COUNTIF(B6:G6,"&gt;0")&amp;"/6"</x:f>
        <x:v>4/6</x:v>
      </x:c>
    </x:row>
    <x:row r="7">
      <x:c r="A7" s="18"/>
      <x:c r="B7" s="18"/>
      <x:c r="C7" s="18"/>
      <x:c r="D7" s="18"/>
      <x:c r="E7" s="18"/>
      <x:c r="F7" s="18"/>
      <x:c r="G7" s="18"/>
      <x:c r="H7" s="18"/>
    </x:row>
    <x:row r="8">
      <x:c r="A8" s="24" t="str">
        <x:v>Summary</x:v>
      </x:c>
      <x:c r="B8" s="24" t="str">
        <x:v>Value</x:v>
      </x:c>
      <x:c r="C8" s="18"/>
      <x:c r="D8" s="18"/>
      <x:c r="E8" s="18"/>
      <x:c r="F8" s="18"/>
      <x:c r="G8" s="18"/>
      <x:c r="H8" s="18"/>
    </x:row>
    <x:row r="9">
      <x:c r="A9" s="18" t="str">
        <x:v>Total loadouts</x:v>
      </x:c>
      <x:c r="B9" s="18" t="n">
        <x:f>COUNTA('Loadout Index'!B4:B26)</x:f>
        <x:v>23</x:v>
      </x:c>
      <x:c r="C9" s="18"/>
      <x:c r="D9" s="18"/>
      <x:c r="E9" s="18"/>
      <x:c r="F9" s="18"/>
      <x:c r="G9" s="18"/>
      <x:c r="H9" s="18"/>
    </x:row>
    <x:row r="10">
      <x:c r="A10" s="18" t="str">
        <x:v>Confirmed/payload-resolved</x:v>
      </x:c>
      <x:c r="B10" s="18" t="n">
        <x:f>COUNTA('Loadout Index'!L4:L26)-COUNTIF('Loadout Index'!L4:L26,"Pending extraction")</x:f>
        <x:v>22</x:v>
      </x:c>
      <x:c r="C10" s="18"/>
      <x:c r="D10" s="18"/>
      <x:c r="E10" s="18"/>
      <x:c r="F10" s="18"/>
      <x:c r="G10" s="18"/>
      <x:c r="H10" s="18"/>
    </x:row>
    <x:row r="11">
      <x:c r="A11" s="18" t="str">
        <x:v>Pending direct extraction</x:v>
      </x:c>
      <x:c r="B11" s="18" t="n">
        <x:f>COUNTIF('Loadout Index'!L4:L26,"Pending extraction")</x:f>
        <x:v>1</x:v>
      </x:c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2" t="str">
        <x:v>Gap</x:v>
      </x:c>
      <x:c r="B13" s="12" t="str">
        <x:v>Hunter</x:v>
      </x:c>
      <x:c r="C13" s="12" t="str">
        <x:v>Warlock</x:v>
      </x:c>
      <x:c r="D13" s="12" t="str">
        <x:v>Titan</x:v>
      </x:c>
      <x:c r="E13" s="12" t="str">
        <x:v>Priority</x:v>
      </x:c>
      <x:c r="F13" s="12" t="str">
        <x:v>Why it matters</x:v>
      </x:c>
      <x:c r="G13" s="12" t="str">
        <x:v>Recommended fixture</x:v>
      </x:c>
      <x:c r="H13" s="12" t="str">
        <x:v>Status</x:v>
      </x:c>
    </x:row>
    <x:row r="14">
      <x:c r="A14" s="18" t="str">
        <x:v>Pure Stasis subclass</x:v>
      </x:c>
      <x:c r="B14" s="18" t="str">
        <x:v>Missing</x:v>
      </x:c>
      <x:c r="C14" s="18" t="str">
        <x:v>Covered</x:v>
      </x:c>
      <x:c r="D14" s="18" t="str">
        <x:v>Covered</x:v>
      </x:c>
      <x:c r="E14" s="18" t="str">
        <x:v>High</x:v>
      </x:c>
      <x:c r="F14" s="18" t="str">
        <x:v>Hunter Stasis title currently resolves to Prismatic, so Revenant is not actually represented.</x:v>
      </x:c>
      <x:c r="G14" s="18" t="str">
        <x:v>Add one genuine Revenant Hunter baseline.</x:v>
      </x:c>
      <x:c r="H14" s="18" t="str">
        <x:v>Open</x:v>
      </x:c>
    </x:row>
    <x:row r="15">
      <x:c r="A15" s="18" t="str">
        <x:v>Arc subclass</x:v>
      </x:c>
      <x:c r="B15" s="18" t="str">
        <x:v>Covered</x:v>
      </x:c>
      <x:c r="C15" s="18" t="str">
        <x:v>Covered</x:v>
      </x:c>
      <x:c r="D15" s="18" t="str">
        <x:v>Missing</x:v>
      </x:c>
      <x:c r="E15" s="18" t="str">
        <x:v>High</x:v>
      </x:c>
      <x:c r="F15" s="18" t="str">
        <x:v>No Striker Titan baseline for melee/Arc loop testing.</x:v>
      </x:c>
      <x:c r="G15" s="18" t="str">
        <x:v>Add one Striker Titan fixture.</x:v>
      </x:c>
      <x:c r="H15" s="18" t="str">
        <x:v>Open</x:v>
      </x:c>
    </x:row>
    <x:row r="16">
      <x:c r="A16" s="18" t="str">
        <x:v>Strand subclass</x:v>
      </x:c>
      <x:c r="B16" s="18" t="str">
        <x:v>Covered</x:v>
      </x:c>
      <x:c r="C16" s="18" t="str">
        <x:v>Covered</x:v>
      </x:c>
      <x:c r="D16" s="18" t="str">
        <x:v>Missing</x:v>
      </x:c>
      <x:c r="E16" s="18" t="str">
        <x:v>High</x:v>
      </x:c>
      <x:c r="F16" s="18" t="str">
        <x:v>No Berserker Titan baseline for Strand melee/suspend tests.</x:v>
      </x:c>
      <x:c r="G16" s="18" t="str">
        <x:v>Add one Berserker Titan fixture.</x:v>
      </x:c>
      <x:c r="H16" s="18" t="str">
        <x:v>Open</x:v>
      </x:c>
    </x:row>
  </x:sheetData>
  <x:mergeCells>
    <x:mergeCell ref="A1:H1"/>
  </x:mergeCells>
  <x:conditionalFormatting sqref="B4:G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2" hidden="0" customWidth="1"/>
    <x:col min="5" max="5" width="18" hidden="0" customWidth="1"/>
    <x:col min="6" max="6" width="34" hidden="0" customWidth="1"/>
    <x:col min="7" max="7" width="34" hidden="0" customWidth="1"/>
    <x:col min="8" max="8" width="48" hidden="0" customWidth="1"/>
    <x:col min="9" max="9" width="42" hidden="0" customWidth="1"/>
    <x:col min="10" max="10" width="12" hidden="0" customWidth="1"/>
  </x:cols>
  <x:sheetData>
    <x:row r="1">
      <x:c r="A1" s="4" t="str">
        <x:v>Paradox Forge — Controlled Mutation Test Plan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Test ID</x:v>
      </x:c>
      <x:c r="B3" s="12" t="str">
        <x:v>Reference Build</x:v>
      </x:c>
      <x:c r="C3" s="12" t="str">
        <x:v>Class</x:v>
      </x:c>
      <x:c r="D3" s="12" t="str">
        <x:v>Element</x:v>
      </x:c>
      <x:c r="E3" s="12" t="str">
        <x:v>Mutation Type</x:v>
      </x:c>
      <x:c r="F3" s="12" t="str">
        <x:v>Controlled Change</x:v>
      </x:c>
      <x:c r="G3" s="12" t="str">
        <x:v>Expected Detection</x:v>
      </x:c>
      <x:c r="H3" s="12" t="str">
        <x:v>Expected Paradox Response</x:v>
      </x:c>
      <x:c r="I3" s="12" t="str">
        <x:v>Pass Criteria</x:v>
      </x:c>
      <x:c r="J3" s="12" t="str">
        <x:v>Status</x:v>
      </x:c>
    </x:row>
    <x:row r="4">
      <x:c r="A4" s="18" t="str">
        <x:v>PF-H-ARC-01</x:v>
      </x:c>
      <x:c r="B4" s="18" t="str">
        <x:v>Arc2</x:v>
      </x:c>
      <x:c r="C4" s="18" t="str">
        <x:v>Hunter</x:v>
      </x:c>
      <x:c r="D4" s="18" t="str">
        <x:v>Arc</x:v>
      </x:c>
      <x:c r="E4" s="18" t="str">
        <x:v>Fragment</x:v>
      </x:c>
      <x:c r="F4" s="18" t="str">
        <x:v>Remove/replace a loop-supporting fragment</x:v>
      </x:c>
      <x:c r="G4" s="18" t="str">
        <x:v>Reduced ability-loop continuity</x:v>
      </x:c>
      <x:c r="H4" s="18" t="str">
        <x:v>Identify the exact broken cause→effect link and suggest the strongest verified repair</x:v>
      </x:c>
      <x:c r="I4" s="18" t="str">
        <x:v>Reason cites the changed node, not generic score loss</x:v>
      </x:c>
      <x:c r="J4" s="18" t="str">
        <x:v>Design</x:v>
      </x:c>
    </x:row>
    <x:row r="5">
      <x:c r="A5" s="18" t="str">
        <x:v>PF-H-PRISM-01</x:v>
      </x:c>
      <x:c r="B5" s="18" t="str">
        <x:v>Unkillable Prismatic Hunter</x:v>
      </x:c>
      <x:c r="C5" s="18" t="str">
        <x:v>Hunter</x:v>
      </x:c>
      <x:c r="D5" s="18" t="str">
        <x:v>Prismatic</x:v>
      </x:c>
      <x:c r="E5" s="18" t="str">
        <x:v>Survivability</x:v>
      </x:c>
      <x:c r="F5" s="18" t="str">
        <x:v>Replace a survivability-enabling component</x:v>
      </x:c>
      <x:c r="G5" s="18" t="str">
        <x:v>Loss of defensive loop</x:v>
      </x:c>
      <x:c r="H5" s="18" t="str">
        <x:v>Explain what defensive trigger/input disappeared and propose an inventory-aware alternative</x:v>
      </x:c>
      <x:c r="I5" s="18" t="str">
        <x:v>Weak link correctly tied to survivability chain</x:v>
      </x:c>
      <x:c r="J5" s="18" t="str">
        <x:v>Design</x:v>
      </x:c>
    </x:row>
    <x:row r="6">
      <x:c r="A6" s="18" t="str">
        <x:v>PF-H-STRAND-01</x:v>
      </x:c>
      <x:c r="B6" s="18" t="str">
        <x:v>Strand Grappler</x:v>
      </x:c>
      <x:c r="C6" s="18" t="str">
        <x:v>Hunter</x:v>
      </x:c>
      <x:c r="D6" s="18" t="str">
        <x:v>Strand</x:v>
      </x:c>
      <x:c r="E6" s="18" t="str">
        <x:v>Ability</x:v>
      </x:c>
      <x:c r="F6" s="18" t="str">
        <x:v>Replace Grapple-oriented ability choice</x:v>
      </x:c>
      <x:c r="G6" s="18" t="str">
        <x:v>Movement/ability chain changes</x:v>
      </x:c>
      <x:c r="H6" s="18" t="str">
        <x:v>Recompute loop role and activity fit rather than preserving old assumptions</x:v>
      </x:c>
      <x:c r="I6" s="18" t="str">
        <x:v>Advisor output changes with new ability state</x:v>
      </x:c>
      <x:c r="J6" s="18" t="str">
        <x:v>Design</x:v>
      </x:c>
    </x:row>
    <x:row r="7">
      <x:c r="A7" s="18" t="str">
        <x:v>PF-W-Void-01</x:v>
      </x:c>
      <x:c r="B7" s="18" t="str">
        <x:v>Manacle Mayhem 2.0</x:v>
      </x:c>
      <x:c r="C7" s="18" t="str">
        <x:v>Warlock</x:v>
      </x:c>
      <x:c r="D7" s="18" t="str">
        <x:v>Void</x:v>
      </x:c>
      <x:c r="E7" s="18" t="str">
        <x:v>Exotic synergy</x:v>
      </x:c>
      <x:c r="F7" s="18" t="str">
        <x:v>Remove/replace Exotic support</x:v>
      </x:c>
      <x:c r="G7" s="18" t="str">
        <x:v>Grenade/Void loop degradation</x:v>
      </x:c>
      <x:c r="H7" s="18" t="str">
        <x:v>Detect loss of Exotic-driven output and identify replacement paths</x:v>
      </x:c>
      <x:c r="I7" s="18" t="str">
        <x:v>Recommendation explains why the Exotic mattered</x:v>
      </x:c>
      <x:c r="J7" s="18" t="str">
        <x:v>Design</x:v>
      </x:c>
    </x:row>
    <x:row r="8">
      <x:c r="A8" s="18" t="str">
        <x:v>PF-W-SOLAR-01</x:v>
      </x:c>
      <x:c r="B8" s="18" t="str">
        <x:v>Starfire Protocal</x:v>
      </x:c>
      <x:c r="C8" s="18" t="str">
        <x:v>Warlock</x:v>
      </x:c>
      <x:c r="D8" s="18" t="str">
        <x:v>Solar</x:v>
      </x:c>
      <x:c r="E8" s="18" t="str">
        <x:v>Weapon link</x:v>
      </x:c>
      <x:c r="F8" s="18" t="str">
        <x:v>Swap a weapon contributing to the loop</x:v>
      </x:c>
      <x:c r="G8" s="18" t="str">
        <x:v>Weapon no longer feeds intended loop</x:v>
      </x:c>
      <x:c r="H8" s="18" t="str">
        <x:v>Flag weapon as weak link only if its property contribution is actually lost</x:v>
      </x:c>
      <x:c r="I8" s="18" t="str">
        <x:v>No raw-DPS-only recommendation</x:v>
      </x:c>
      <x:c r="J8" s="18" t="str">
        <x:v>Design</x:v>
      </x:c>
    </x:row>
    <x:row r="9">
      <x:c r="A9" s="18" t="str">
        <x:v>PF-W-STASIS-01</x:v>
      </x:c>
      <x:c r="B9" s="18" t="str">
        <x:v>Definitive Frostpulse Warlock</x:v>
      </x:c>
      <x:c r="C9" s="18" t="str">
        <x:v>Warlock</x:v>
      </x:c>
      <x:c r="D9" s="18" t="str">
        <x:v>Stasis</x:v>
      </x:c>
      <x:c r="E9" s="18" t="str">
        <x:v>Aspect</x:v>
      </x:c>
      <x:c r="F9" s="18" t="str">
        <x:v>Remove/replace Frostpulse-related aspect</x:v>
      </x:c>
      <x:c r="G9" s="18" t="str">
        <x:v>Freeze/control chain changes</x:v>
      </x:c>
      <x:c r="H9" s="18" t="str">
        <x:v>Detect control-loop break and activity consequences</x:v>
      </x:c>
      <x:c r="I9" s="18" t="str">
        <x:v>Cause→effect explanation names the lost control link</x:v>
      </x:c>
      <x:c r="J9" s="18" t="str">
        <x:v>Design</x:v>
      </x:c>
    </x:row>
    <x:row r="10">
      <x:c r="A10" s="18" t="str">
        <x:v>PF-W-STRAND-01</x:v>
      </x:c>
      <x:c r="B10" s="18" t="str">
        <x:v>Strand CT</x:v>
      </x:c>
      <x:c r="C10" s="18" t="str">
        <x:v>Warlock</x:v>
      </x:c>
      <x:c r="D10" s="18" t="str">
        <x:v>Strand</x:v>
      </x:c>
      <x:c r="E10" s="18" t="str">
        <x:v>Champion/activity</x:v>
      </x:c>
      <x:c r="F10" s="18" t="str">
        <x:v>Select activity requiring missing counter</x:v>
      </x:c>
      <x:c r="G10" s="18" t="str">
        <x:v>Encounter gap appears</x:v>
      </x:c>
      <x:c r="H10" s="18" t="str">
        <x:v>Use same reasoning engine outward: champion→stun/activity requirement→build gap</x:v>
      </x:c>
      <x:c r="I10" s="18" t="str">
        <x:v>Correctly prioritises encounter requirement</x:v>
      </x:c>
      <x:c r="J10" s="18" t="str">
        <x:v>Design</x:v>
      </x:c>
    </x:row>
    <x:row r="11">
      <x:c r="A11" s="18" t="str">
        <x:v>PF-T-STASIS-01</x:v>
      </x:c>
      <x:c r="B11" s="18" t="str">
        <x:v>Shatter titan</x:v>
      </x:c>
      <x:c r="C11" s="18" t="str">
        <x:v>Titan</x:v>
      </x:c>
      <x:c r="D11" s="18" t="str">
        <x:v>Stasis</x:v>
      </x:c>
      <x:c r="E11" s="18" t="str">
        <x:v>Fragment/weapon</x:v>
      </x:c>
      <x:c r="F11" s="18" t="str">
        <x:v>Remove shatter-supporting link</x:v>
      </x:c>
      <x:c r="G11" s="18" t="str">
        <x:v>Shatter loop efficiency drops</x:v>
      </x:c>
      <x:c r="H11" s="18" t="str">
        <x:v>Identify the link feeding crystal/freeze→shatter chain</x:v>
      </x:c>
      <x:c r="I11" s="18" t="str">
        <x:v>No generic 'Stasis synergy' prose</x:v>
      </x:c>
      <x:c r="J11" s="18" t="str">
        <x:v>Design</x:v>
      </x:c>
    </x:row>
    <x:row r="12">
      <x:c r="A12" s="18" t="str">
        <x:v>PF-T-VOID-01</x:v>
      </x:c>
      <x:c r="B12" s="18" t="str">
        <x:v>Void Shield Bash</x:v>
      </x:c>
      <x:c r="C12" s="18" t="str">
        <x:v>Titan</x:v>
      </x:c>
      <x:c r="D12" s="18" t="str">
        <x:v>Void</x:v>
      </x:c>
      <x:c r="E12" s="18" t="str">
        <x:v>Melee</x:v>
      </x:c>
      <x:c r="F12" s="18" t="str">
        <x:v>Replace Shield Bash-oriented piece</x:v>
      </x:c>
      <x:c r="G12" s="18" t="str">
        <x:v>Melee/overshield chain changes</x:v>
      </x:c>
      <x:c r="H12" s="18" t="str">
        <x:v>Re-score loop and explain missing trigger/output</x:v>
      </x:c>
      <x:c r="I12" s="18" t="str">
        <x:v>Recommendation is specific to the changed chain</x:v>
      </x:c>
      <x:c r="J12" s="18" t="str">
        <x:v>Design</x:v>
      </x:c>
    </x:row>
    <x:row r="13">
      <x:c r="A13" s="18" t="str">
        <x:v>PF-CROSS-01</x:v>
      </x:c>
      <x:c r="B13" s="18" t="str">
        <x:v>Any baseline</x:v>
      </x:c>
      <x:c r="C13" s="18" t="str">
        <x:v>All</x:v>
      </x:c>
      <x:c r="D13" s="18" t="str">
        <x:v>Any</x:v>
      </x:c>
      <x:c r="E13" s="18" t="str">
        <x:v>Artifact</x:v>
      </x:c>
      <x:c r="F13" s="18" t="str">
        <x:v>Swap one selected Artifact perk</x:v>
      </x:c>
      <x:c r="G13" s="18" t="str">
        <x:v>Artifact contribution changes</x:v>
      </x:c>
      <x:c r="H13" s="18" t="str">
        <x:v>Explain whether the perk strengthens this build/activity specifically</x:v>
      </x:c>
      <x:c r="I13" s="18" t="str">
        <x:v>No season-wide popularity logic</x:v>
      </x:c>
      <x:c r="J13" s="18" t="str">
        <x:v>Design</x:v>
      </x:c>
    </x:row>
  </x:sheetData>
  <x:mergeCells>
    <x:mergeCell ref="A1:J1"/>
  </x:mergeCells>
  <x:dataValidations count="1">
    <x:dataValidation type="list" sqref="J4:J13">
      <x:formula1>"Design,Ready,Running,Pass,Fail,Blocked"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48adf3c2374e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4" hidden="0" customWidth="1"/>
    <x:col min="5" max="5" width="40" hidden="0" customWidth="1"/>
    <x:col min="6" max="6" width="48" hidden="0" customWidth="1"/>
  </x:cols>
  <x:sheetData>
    <x:row r="1">
      <x:c r="A1" s="4" t="str">
        <x:v>Paradox Forge Beta Fixture Schema</x:v>
      </x:c>
      <x:c r="B1" s="4"/>
      <x:c r="C1" s="4"/>
      <x:c r="D1" s="4"/>
      <x:c r="E1" s="4"/>
      <x:c r="F1" s="4"/>
    </x:row>
    <x:row r="3">
      <x:c r="A3" s="12" t="str">
        <x:v>Field</x:v>
      </x:c>
      <x:c r="B3" s="12" t="str">
        <x:v>Type</x:v>
      </x:c>
      <x:c r="C3" s="12" t="str">
        <x:v>Source Owner</x:v>
      </x:c>
      <x:c r="D3" s="12" t="str">
        <x:v>Required</x:v>
      </x:c>
      <x:c r="E3" s="12" t="str">
        <x:v>Purpose</x:v>
      </x:c>
      <x:c r="F3" s="12" t="str">
        <x:v>Rule</x:v>
      </x:c>
    </x:row>
    <x:row r="4">
      <x:c r="A4" s="18" t="str">
        <x:v>fixtureId</x:v>
      </x:c>
      <x:c r="B4" s="18" t="str">
        <x:v>string</x:v>
      </x:c>
      <x:c r="C4" s="18" t="str">
        <x:v>Paradox</x:v>
      </x:c>
      <x:c r="D4" s="18" t="str">
        <x:v>Yes</x:v>
      </x:c>
      <x:c r="E4" s="18" t="str">
        <x:v>Stable beta fixture key</x:v>
      </x:c>
      <x:c r="F4" s="18" t="str">
        <x:v>Never use display name as identifier</x:v>
      </x:c>
    </x:row>
    <x:row r="5">
      <x:c r="A5" s="18" t="str">
        <x:v>dimId</x:v>
      </x:c>
      <x:c r="B5" s="18" t="str">
        <x:v>string</x:v>
      </x:c>
      <x:c r="C5" s="18" t="str">
        <x:v>DIM</x:v>
      </x:c>
      <x:c r="D5" s="18" t="str">
        <x:v>Yes</x:v>
      </x:c>
      <x:c r="E5" s="18" t="str">
        <x:v>Original shared-loadout ID</x:v>
      </x:c>
      <x:c r="F5" s="18" t="str">
        <x:v>Preserve unchanged</x:v>
      </x:c>
    </x:row>
    <x:row r="6">
      <x:c r="A6" s="18" t="str">
        <x:v>displayName</x:v>
      </x:c>
      <x:c r="B6" s="18" t="str">
        <x:v>string</x:v>
      </x:c>
      <x:c r="C6" s="18" t="str">
        <x:v>DIM</x:v>
      </x:c>
      <x:c r="D6" s="18" t="str">
        <x:v>Yes</x:v>
      </x:c>
      <x:c r="E6" s="18" t="str">
        <x:v>Human-readable loadout name</x:v>
      </x:c>
      <x:c r="F6" s="18" t="str">
        <x:v>Do not trust name to determine subclass</x:v>
      </x:c>
    </x:row>
    <x:row r="7">
      <x:c r="A7" s="18" t="str">
        <x:v>classType</x:v>
      </x:c>
      <x:c r="B7" s="18" t="str">
        <x:v>integer</x:v>
      </x:c>
      <x:c r="C7" s="18" t="str">
        <x:v>DIM</x:v>
      </x:c>
      <x:c r="D7" s="18" t="str">
        <x:v>Yes</x:v>
      </x:c>
      <x:c r="E7" s="18" t="str">
        <x:v>0 Titan / 1 Hunter / 2 Warlock</x:v>
      </x:c>
      <x:c r="F7" s="18" t="str">
        <x:v>Use payload value</x:v>
      </x:c>
    </x:row>
    <x:row r="8">
      <x:c r="A8" s="18" t="str">
        <x:v>className</x:v>
      </x:c>
      <x:c r="B8" s="18" t="str">
        <x:v>enum</x:v>
      </x:c>
      <x:c r="C8" s="18" t="str">
        <x:v>Normalized</x:v>
      </x:c>
      <x:c r="D8" s="18" t="str">
        <x:v>Yes</x:v>
      </x:c>
      <x:c r="E8" s="18" t="str">
        <x:v>Titan/Hunter/Warlock</x:v>
      </x:c>
      <x:c r="F8" s="18" t="str">
        <x:v>Derived from classType</x:v>
      </x:c>
    </x:row>
    <x:row r="9">
      <x:c r="A9" s="18" t="str">
        <x:v>subclassHash</x:v>
      </x:c>
      <x:c r="B9" s="18" t="str">
        <x:v>uint32</x:v>
      </x:c>
      <x:c r="C9" s="18" t="str">
        <x:v>DIM</x:v>
      </x:c>
      <x:c r="D9" s="18" t="str">
        <x:v>Yes</x:v>
      </x:c>
      <x:c r="E9" s="18" t="str">
        <x:v>Subclass inventory hash</x:v>
      </x:c>
      <x:c r="F9" s="18" t="str">
        <x:v>Source of truth for subclass identity</x:v>
      </x:c>
    </x:row>
    <x:row r="10">
      <x:c r="A10" s="18" t="str">
        <x:v>subclassName</x:v>
      </x:c>
      <x:c r="B10" s="18" t="str">
        <x:v>string</x:v>
      </x:c>
      <x:c r="C10" s="18" t="str">
        <x:v>Manifest</x:v>
      </x:c>
      <x:c r="D10" s="18" t="str">
        <x:v>Yes</x:v>
      </x:c>
      <x:c r="E10" s="18" t="str">
        <x:v>Canonical subclass name</x:v>
      </x:c>
      <x:c r="F10" s="18" t="str">
        <x:v>Resolve from manifest/hash</x:v>
      </x:c>
    </x:row>
    <x:row r="11">
      <x:c r="A11" s="18" t="str">
        <x:v>element</x:v>
      </x:c>
      <x:c r="B11" s="18" t="str">
        <x:v>enum</x:v>
      </x:c>
      <x:c r="C11" s="18" t="str">
        <x:v>Manifest</x:v>
      </x:c>
      <x:c r="D11" s="18" t="str">
        <x:v>Yes</x:v>
      </x:c>
      <x:c r="E11" s="18" t="str">
        <x:v>Arc/Solar/Void/Stasis/Strand/Prismatic</x:v>
      </x:c>
      <x:c r="F11" s="18" t="str">
        <x:v>Resolve from canonical subclass</x:v>
      </x:c>
    </x:row>
    <x:row r="12">
      <x:c r="A12" s="18" t="str">
        <x:v>equippedItemHashes</x:v>
      </x:c>
      <x:c r="B12" s="18" t="str">
        <x:v>array&lt;uint32&gt;</x:v>
      </x:c>
      <x:c r="C12" s="18" t="str">
        <x:v>DIM</x:v>
      </x:c>
      <x:c r="D12" s="18" t="str">
        <x:v>Yes</x:v>
      </x:c>
      <x:c r="E12" s="18" t="str">
        <x:v>Weapons/armour/subclass payload</x:v>
      </x:c>
      <x:c r="F12" s="18" t="str">
        <x:v>Preserve raw values</x:v>
      </x:c>
    </x:row>
    <x:row r="13">
      <x:c r="A13" s="18" t="str">
        <x:v>socketOverrides</x:v>
      </x:c>
      <x:c r="B13" s="18" t="str">
        <x:v>object</x:v>
      </x:c>
      <x:c r="C13" s="18" t="str">
        <x:v>DIM</x:v>
      </x:c>
      <x:c r="D13" s="18" t="str">
        <x:v>When present</x:v>
      </x:c>
      <x:c r="E13" s="18" t="str">
        <x:v>Subclass selections and item socket state</x:v>
      </x:c>
      <x:c r="F13" s="18" t="str">
        <x:v>Preserve by socket index</x:v>
      </x:c>
    </x:row>
    <x:row r="14">
      <x:c r="A14" s="18" t="str">
        <x:v>modHashes</x:v>
      </x:c>
      <x:c r="B14" s="18" t="str">
        <x:v>array&lt;uint32&gt;</x:v>
      </x:c>
      <x:c r="C14" s="18" t="str">
        <x:v>DIM</x:v>
      </x:c>
      <x:c r="D14" s="18" t="str">
        <x:v>When present</x:v>
      </x:c>
      <x:c r="E14" s="18" t="str">
        <x:v>Saved mod selections</x:v>
      </x:c>
      <x:c r="F14" s="18" t="str">
        <x:v>Preserve duplicates</x:v>
      </x:c>
    </x:row>
    <x:row r="15">
      <x:c r="A15" s="18" t="str">
        <x:v>modsByBucket</x:v>
      </x:c>
      <x:c r="B15" s="18" t="str">
        <x:v>object</x:v>
      </x:c>
      <x:c r="C15" s="18" t="str">
        <x:v>DIM</x:v>
      </x:c>
      <x:c r="D15" s="18" t="str">
        <x:v>When present</x:v>
      </x:c>
      <x:c r="E15" s="18" t="str">
        <x:v>Mod allocation by armour bucket</x:v>
      </x:c>
      <x:c r="F15" s="18" t="str">
        <x:v>Do not flatten before validation</x:v>
      </x:c>
    </x:row>
    <x:row r="16">
      <x:c r="A16" s="18" t="str">
        <x:v>artifactSeason</x:v>
      </x:c>
      <x:c r="B16" s="18" t="str">
        <x:v>integer</x:v>
      </x:c>
      <x:c r="C16" s="18" t="str">
        <x:v>DIM</x:v>
      </x:c>
      <x:c r="D16" s="18" t="str">
        <x:v>When present</x:v>
      </x:c>
      <x:c r="E16" s="18" t="str">
        <x:v>Season/Artifact context</x:v>
      </x:c>
      <x:c r="F16" s="18" t="str">
        <x:v>Null means not supplied, not 'none selected'</x:v>
      </x:c>
    </x:row>
    <x:row r="17">
      <x:c r="A17" s="18" t="str">
        <x:v>artifactUnlockHashes</x:v>
      </x:c>
      <x:c r="B17" s="18" t="str">
        <x:v>array&lt;uint32&gt;</x:v>
      </x:c>
      <x:c r="C17" s="18" t="str">
        <x:v>DIM</x:v>
      </x:c>
      <x:c r="D17" s="18" t="str">
        <x:v>When present</x:v>
      </x:c>
      <x:c r="E17" s="18" t="str">
        <x:v>Saved Artifact selections</x:v>
      </x:c>
      <x:c r="F17" s="18" t="str">
        <x:v>Resolve names through verified manifest</x:v>
      </x:c>
    </x:row>
    <x:row r="18">
      <x:c r="A18" s="18" t="str">
        <x:v>buildFocus</x:v>
      </x:c>
      <x:c r="B18" s="18" t="str">
        <x:v>enum/string</x:v>
      </x:c>
      <x:c r="C18" s="18" t="str">
        <x:v>Paradox verified</x:v>
      </x:c>
      <x:c r="D18" s="18" t="str">
        <x:v>Beta</x:v>
      </x:c>
      <x:c r="E18" s="18" t="str">
        <x:v>Expected purpose of fixture</x:v>
      </x:c>
      <x:c r="F18" s="18" t="str">
        <x:v>Hand-verified; never auto-invent</x:v>
      </x:c>
    </x:row>
    <x:row r="19">
      <x:c r="A19" s="18" t="str">
        <x:v>synergyChains</x:v>
      </x:c>
      <x:c r="B19" s="18" t="str">
        <x:v>array&lt;object&gt;</x:v>
      </x:c>
      <x:c r="C19" s="18" t="str">
        <x:v>Paradox verified</x:v>
      </x:c>
      <x:c r="D19" s="18" t="str">
        <x:v>Beta</x:v>
      </x:c>
      <x:c r="E19" s="18" t="str">
        <x:v>Directed cause→effect graph</x:v>
      </x:c>
      <x:c r="F19" s="18" t="str">
        <x:v>Every edge needs evidence</x:v>
      </x:c>
    </x:row>
    <x:row r="20">
      <x:c r="A20" s="18" t="str">
        <x:v>weaponContribution</x:v>
      </x:c>
      <x:c r="B20" s="18" t="str">
        <x:v>array&lt;object&gt;</x:v>
      </x:c>
      <x:c r="C20" s="18" t="str">
        <x:v>Paradox verified</x:v>
      </x:c>
      <x:c r="D20" s="18" t="str">
        <x:v>Beta</x:v>
      </x:c>
      <x:c r="E20" s="18" t="str">
        <x:v>How weapon feeds the loop</x:v>
      </x:c>
      <x:c r="F20" s="18" t="str">
        <x:v>Do not use raw DPS as primary relationship</x:v>
      </x:c>
    </x:row>
    <x:row r="21">
      <x:c r="A21" s="18" t="str">
        <x:v>activityProfile</x:v>
      </x:c>
      <x:c r="B21" s="18" t="str">
        <x:v>object</x:v>
      </x:c>
      <x:c r="C21" s="18" t="str">
        <x:v>Paradox verified</x:v>
      </x:c>
      <x:c r="D21" s="18" t="str">
        <x:v>Beta</x:v>
      </x:c>
      <x:c r="E21" s="18" t="str">
        <x:v>Encounter requirements</x:v>
      </x:c>
      <x:c r="F21" s="18" t="str">
        <x:v>Champion/surge/shield/activity demands</x:v>
      </x:c>
    </x:row>
    <x:row r="22">
      <x:c r="A22" s="18" t="str">
        <x:v>knownStrengths</x:v>
      </x:c>
      <x:c r="B22" s="18" t="str">
        <x:v>array&lt;string&gt;</x:v>
      </x:c>
      <x:c r="C22" s="18" t="str">
        <x:v>Paradox verified</x:v>
      </x:c>
      <x:c r="D22" s="18" t="str">
        <x:v>Beta</x:v>
      </x:c>
      <x:c r="E22" s="18" t="str">
        <x:v>Expected good links</x:v>
      </x:c>
      <x:c r="F22" s="18" t="str">
        <x:v>Hand-verified</x:v>
      </x:c>
    </x:row>
    <x:row r="23">
      <x:c r="A23" s="18" t="str">
        <x:v>knownWeakLinks</x:v>
      </x:c>
      <x:c r="B23" s="18" t="str">
        <x:v>array&lt;string&gt;</x:v>
      </x:c>
      <x:c r="C23" s="18" t="str">
        <x:v>Paradox verified</x:v>
      </x:c>
      <x:c r="D23" s="18" t="str">
        <x:v>Beta</x:v>
      </x:c>
      <x:c r="E23" s="18" t="str">
        <x:v>Known constraints</x:v>
      </x:c>
      <x:c r="F23" s="18" t="str">
        <x:v>Hand-verified</x:v>
      </x:c>
    </x:row>
    <x:row r="24">
      <x:c r="A24" s="18" t="str">
        <x:v>mutationCases</x:v>
      </x:c>
      <x:c r="B24" s="18" t="str">
        <x:v>array&lt;object&gt;</x:v>
      </x:c>
      <x:c r="C24" s="18" t="str">
        <x:v>Beta QA</x:v>
      </x:c>
      <x:c r="D24" s="18" t="str">
        <x:v>Beta</x:v>
      </x:c>
      <x:c r="E24" s="18" t="str">
        <x:v>Controlled changes for tests</x:v>
      </x:c>
      <x:c r="F24" s="18" t="str">
        <x:v>Each mutation has expected detection</x:v>
      </x:c>
    </x:row>
    <x:row r="25">
      <x:c r="A25" s="18" t="str">
        <x:v>evidenceStatus</x:v>
      </x:c>
      <x:c r="B25" s="18" t="str">
        <x:v>enum</x:v>
      </x:c>
      <x:c r="C25" s="18" t="str">
        <x:v>QA</x:v>
      </x:c>
      <x:c r="D25" s="18" t="str">
        <x:v>Yes</x:v>
      </x:c>
      <x:c r="E25" s="18" t="str">
        <x:v>Confirmed/Pending/Mismatch</x:v>
      </x:c>
      <x:c r="F25" s="18" t="str">
        <x:v>Prevents inferred data being treated as verified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b2fad41e50a4a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ASTRIX PARADOX — Beta Dataset Decisions</x:v>
      </x:c>
      <x:c r="B1" s="4"/>
      <x:c r="C1" s="4"/>
      <x:c r="D1" s="4"/>
      <x:c r="E1" s="4"/>
      <x:c r="F1" s="4"/>
    </x:row>
    <x:row r="3">
      <x:c r="A3" s="12" t="str">
        <x:v>Decision</x:v>
      </x:c>
      <x:c r="B3" s="12" t="str">
        <x:v>Detail</x:v>
      </x:c>
    </x:row>
    <x:row r="4">
      <x:c r="A4" s="18" t="str">
        <x:v>Purpose</x:v>
      </x:c>
      <x:c r="B4" s="18" t="str">
        <x:v>These 23 DIM links are beta fixtures, not production recommendations. They let the UI and deterministic advisor operate against controlled real-world loadout states.</x:v>
      </x:c>
    </x:row>
    <x:row r="5">
      <x:c r="A5" s="18" t="str">
        <x:v>Key discovery</x:v>
      </x:c>
      <x:c r="B5" s="18" t="str">
        <x:v>The loadout named 'Stasis' resolves to Prismatic Hunter (hash 4282591831). Names are therefore descriptive only; subclass hashes are the identity source of truth.</x:v>
      </x:c>
    </x:row>
    <x:row r="6">
      <x:c r="A6" s="18" t="str">
        <x:v>Coverage</x:v>
      </x:c>
      <x:c r="B6" s="18" t="str">
        <x:v>Warlock covers all six element families. Hunter lacks a genuine pure Stasis/Revenant baseline. Titan lacks Arc/Striker and Strand/Berserker baselines.</x:v>
      </x:c>
    </x:row>
    <x:row r="7">
      <x:c r="A7" s="18" t="str">
        <x:v>Data discipline</x:v>
      </x:c>
      <x:c r="B7" s="18" t="str">
        <x:v>DIM supplies hashes/state. Manifest resolves canonical names/icons. Paradox-only reasoning fields stay hand-verified.</x:v>
      </x:c>
    </x:row>
    <x:row r="8">
      <x:c r="A8" s="18" t="str">
        <x:v>Beta philosophy</x:v>
      </x:c>
      <x:c r="B8" s="18" t="str">
        <x:v>Every mutation test should change one meaningful link where possible so the engine must explain a cause→effect consequence rather than merely produce a different score.</x:v>
      </x:c>
    </x:row>
    <x:row r="9">
      <x:c r="A9" s="18" t="str">
        <x:v>Production boundary</x:v>
      </x:c>
      <x:c r="B9" s="18" t="str">
        <x:v>Do not hard-code these builds as 'best builds'. Production should consume the same normalized fixture shape from live Bungie character/loadout data.</x:v>
      </x:c>
    </x:row>
  </x:sheetData>
  <x:mergeCells>
    <x:mergeCell ref="A1:F1"/>
  </x:mergeCells>
  <x:pageMargins left="0.7" right="0.7" top="0.75" bottom="0.75" header="0.3" footer="0.3"/>
</x:worksheet>
</file>